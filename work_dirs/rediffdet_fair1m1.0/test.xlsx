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eDiffDet\fair1m1.0\"/>
    </mc:Choice>
  </mc:AlternateContent>
  <xr:revisionPtr revIDLastSave="0" documentId="13_ncr:1_{C791D181-8D88-4C3D-A1C8-330FEB420BB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P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" i="1"/>
  <c r="E2" i="1"/>
</calcChain>
</file>

<file path=xl/sharedStrings.xml><?xml version="1.0" encoding="utf-8"?>
<sst xmlns="http://schemas.openxmlformats.org/spreadsheetml/2006/main" count="75" uniqueCount="47">
  <si>
    <t>Category</t>
  </si>
  <si>
    <t>Subcategory</t>
  </si>
  <si>
    <t>Boeing737</t>
  </si>
  <si>
    <t>Boeing747</t>
  </si>
  <si>
    <t>Boeing777</t>
  </si>
  <si>
    <t>Boeing787</t>
  </si>
  <si>
    <t>C919</t>
  </si>
  <si>
    <t>A220</t>
  </si>
  <si>
    <t>A321</t>
  </si>
  <si>
    <t>A330</t>
  </si>
  <si>
    <t>A350</t>
  </si>
  <si>
    <t>Ship</t>
  </si>
  <si>
    <t>Passenger Ship</t>
  </si>
  <si>
    <t>Motorboat</t>
  </si>
  <si>
    <t>Fishing Boat</t>
  </si>
  <si>
    <t>Tugboat</t>
  </si>
  <si>
    <t>Engineering Ship</t>
  </si>
  <si>
    <t>Liquid Cargo Ship</t>
  </si>
  <si>
    <t>Dry Cargo Ship</t>
  </si>
  <si>
    <t>Warship</t>
  </si>
  <si>
    <t>Vehicle</t>
  </si>
  <si>
    <t>Small Car</t>
  </si>
  <si>
    <t>Bus</t>
  </si>
  <si>
    <t>Cargo Truck</t>
  </si>
  <si>
    <t>Dump Truck</t>
  </si>
  <si>
    <t>Van</t>
  </si>
  <si>
    <t>Trailer</t>
  </si>
  <si>
    <t>Tractor</t>
  </si>
  <si>
    <t>Excavator</t>
  </si>
  <si>
    <t>Truck Tractor</t>
  </si>
  <si>
    <t>Basketball Court</t>
  </si>
  <si>
    <t>Tennis Court</t>
  </si>
  <si>
    <t>Football Field</t>
  </si>
  <si>
    <t>Baseball Field</t>
  </si>
  <si>
    <t>Road</t>
  </si>
  <si>
    <t>Intersection</t>
  </si>
  <si>
    <t>Roundabout</t>
  </si>
  <si>
    <t>Bridge</t>
  </si>
  <si>
    <t>Airplane</t>
  </si>
  <si>
    <t>mAP_standard</t>
    <phoneticPr fontId="1" type="noConversion"/>
  </si>
  <si>
    <t>mAP_mine</t>
    <phoneticPr fontId="1" type="noConversion"/>
  </si>
  <si>
    <t>ARJ21</t>
    <phoneticPr fontId="1" type="noConversion"/>
  </si>
  <si>
    <t>Court</t>
  </si>
  <si>
    <t>Court</t>
    <phoneticPr fontId="1" type="noConversion"/>
  </si>
  <si>
    <t>mAP</t>
    <phoneticPr fontId="1" type="noConversion"/>
  </si>
  <si>
    <t>绝对差值（mine-standard）</t>
    <phoneticPr fontId="1" type="noConversion"/>
  </si>
  <si>
    <t>相对差值（(mine-standard)/standard）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</si>
</sst>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Microsoft YaHei"/>
      <family val="2"/>
      <charset val="134"/>
    </font>
    <font>
      <sz val="10"/>
      <color rgb="FF1F2328"/>
      <name val="Microsoft YaHei"/>
      <family val="2"/>
      <charset val="134"/>
    </font>
    <font>
      <sz val="10"/>
      <color rgb="FF121326"/>
      <name val="Microsoft YaHei"/>
      <family val="2"/>
      <charset val="134"/>
    </font>
    <font>
      <sz val="10"/>
      <color rgb="FF1F2328"/>
      <name val="Microsoft YaHei"/>
      <family val="2"/>
      <charset val="134"/>
    </font>
    <font>
      <sz val="10"/>
      <color rgb="FFFF0000"/>
      <name val="Microsoft YaHei"/>
      <family val="2"/>
      <charset val="134"/>
    </font>
    <font>
      <sz val="11"/>
      <color rgb="FFFF0000"/>
      <name val="宋体"/>
      <family val="2"/>
      <scheme val="minor"/>
    </font>
    <font>
      <sz val="10"/>
      <name val="Microsoft YaHei"/>
      <family val="2"/>
      <charset val="134"/>
    </font>
    <font>
      <sz val="10"/>
      <color rgb="FF00B05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0" fontId="6" fillId="0" borderId="0" xfId="0" applyNumberFormat="1" applyFont="1" applyAlignment="1">
      <alignment horizontal="center" vertical="center" wrapText="1"/>
    </xf>
    <xf numFmtId="10" fontId="7" fillId="0" borderId="0" xfId="0" applyNumberFormat="1" applyFont="1"/>
    <xf numFmtId="10" fontId="8" fillId="0" borderId="0" xfId="0" applyNumberFormat="1" applyFont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F1" sqref="F1"/>
    </sheetView>
  </sheetViews>
  <sheetFormatPr defaultRowHeight="14"/>
  <cols>
    <col min="1" max="1" width="9.1796875" customWidth="1"/>
    <col min="2" max="2" width="17.26953125" customWidth="1"/>
    <col min="3" max="3" width="14.08984375" customWidth="1"/>
    <col min="4" max="4" width="10.54296875" customWidth="1"/>
    <col min="5" max="5" width="26.08984375" customWidth="1"/>
    <col min="6" max="6" width="36.6328125" style="6" customWidth="1"/>
  </cols>
  <sheetData>
    <row r="1" spans="1:6" ht="19.5" customHeight="1">
      <c r="A1" s="1" t="s">
        <v>0</v>
      </c>
      <c r="B1" s="1" t="s">
        <v>1</v>
      </c>
      <c r="C1" s="1" t="s">
        <v>39</v>
      </c>
      <c r="D1" s="1" t="s">
        <v>40</v>
      </c>
      <c r="E1" s="1" t="s">
        <v>45</v>
      </c>
      <c r="F1" s="7" t="s">
        <v>46</v>
      </c>
    </row>
    <row r="2" spans="1:6" ht="19.5" customHeight="1">
      <c r="A2" s="9" t="s">
        <v>44</v>
      </c>
      <c r="B2" s="9"/>
      <c r="C2" s="2">
        <v>38.214799999999997</v>
      </c>
      <c r="D2" s="3">
        <v>36.390900000000002</v>
      </c>
      <c r="E2" s="1">
        <f>D2-C2</f>
        <v>-1.8238999999999947</v>
      </c>
      <c r="F2" s="5">
        <f>E2/C2</f>
        <v>-4.7727581983943258E-2</v>
      </c>
    </row>
    <row r="3" spans="1:6" ht="19.5" customHeight="1">
      <c r="A3" s="1" t="s">
        <v>38</v>
      </c>
      <c r="B3" s="1" t="s">
        <v>2</v>
      </c>
      <c r="C3" s="1">
        <v>39.556199999999997</v>
      </c>
      <c r="D3" s="3">
        <v>38.474299999999999</v>
      </c>
      <c r="E3" s="1">
        <f>D3-C3</f>
        <v>-1.0818999999999974</v>
      </c>
      <c r="F3" s="5">
        <f t="shared" ref="F3:F36" si="0">E3/C3</f>
        <v>-2.7350958888871971E-2</v>
      </c>
    </row>
    <row r="4" spans="1:6" ht="19.5" customHeight="1">
      <c r="A4" s="1" t="s">
        <v>38</v>
      </c>
      <c r="B4" s="1" t="s">
        <v>3</v>
      </c>
      <c r="C4" s="1">
        <v>80.010199999999998</v>
      </c>
      <c r="D4" s="3">
        <v>80.794600000000003</v>
      </c>
      <c r="E4" s="1">
        <f t="shared" ref="E4:E36" si="1">D4-C4</f>
        <v>0.78440000000000509</v>
      </c>
      <c r="F4" s="8">
        <f t="shared" si="0"/>
        <v>9.8037500218722748E-3</v>
      </c>
    </row>
    <row r="5" spans="1:6" ht="19.5" customHeight="1">
      <c r="A5" s="1" t="s">
        <v>38</v>
      </c>
      <c r="B5" s="1" t="s">
        <v>4</v>
      </c>
      <c r="C5" s="1">
        <v>14.891500000000001</v>
      </c>
      <c r="D5" s="3">
        <v>14.0238</v>
      </c>
      <c r="E5" s="1">
        <f t="shared" si="1"/>
        <v>-0.86770000000000103</v>
      </c>
      <c r="F5" s="5">
        <f t="shared" si="0"/>
        <v>-5.8268139542692207E-2</v>
      </c>
    </row>
    <row r="6" spans="1:6" ht="19.5" customHeight="1">
      <c r="A6" s="1" t="s">
        <v>38</v>
      </c>
      <c r="B6" s="1" t="s">
        <v>5</v>
      </c>
      <c r="C6" s="1">
        <v>46.662199999999999</v>
      </c>
      <c r="D6" s="3">
        <v>48.130600000000001</v>
      </c>
      <c r="E6" s="1">
        <f t="shared" si="1"/>
        <v>1.4684000000000026</v>
      </c>
      <c r="F6" s="8">
        <f t="shared" si="0"/>
        <v>3.1468726292373753E-2</v>
      </c>
    </row>
    <row r="7" spans="1:6" ht="19.5" customHeight="1">
      <c r="A7" s="1" t="s">
        <v>38</v>
      </c>
      <c r="B7" s="1" t="s">
        <v>6</v>
      </c>
      <c r="C7" s="1">
        <v>24.007999999999999</v>
      </c>
      <c r="D7" s="3">
        <v>19.408799999999999</v>
      </c>
      <c r="E7" s="1">
        <f t="shared" si="1"/>
        <v>-4.5991999999999997</v>
      </c>
      <c r="F7" s="5">
        <f t="shared" si="0"/>
        <v>-0.19156947684105297</v>
      </c>
    </row>
    <row r="8" spans="1:6" ht="19.5" customHeight="1">
      <c r="A8" s="1" t="s">
        <v>38</v>
      </c>
      <c r="B8" s="1" t="s">
        <v>7</v>
      </c>
      <c r="C8" s="1">
        <v>45.3125</v>
      </c>
      <c r="D8" s="3">
        <v>44.107700000000001</v>
      </c>
      <c r="E8" s="1">
        <f t="shared" si="1"/>
        <v>-1.2047999999999988</v>
      </c>
      <c r="F8" s="5">
        <f t="shared" si="0"/>
        <v>-2.6588689655172387E-2</v>
      </c>
    </row>
    <row r="9" spans="1:6" ht="19.5" customHeight="1">
      <c r="A9" s="1" t="s">
        <v>38</v>
      </c>
      <c r="B9" s="1" t="s">
        <v>8</v>
      </c>
      <c r="C9" s="1">
        <v>61.658299999999997</v>
      </c>
      <c r="D9" s="3">
        <v>62.390700000000002</v>
      </c>
      <c r="E9" s="1">
        <f t="shared" si="1"/>
        <v>0.73240000000000549</v>
      </c>
      <c r="F9" s="8">
        <f t="shared" si="0"/>
        <v>1.1878368362410342E-2</v>
      </c>
    </row>
    <row r="10" spans="1:6" ht="19.5" customHeight="1">
      <c r="A10" s="1" t="s">
        <v>38</v>
      </c>
      <c r="B10" s="1" t="s">
        <v>9</v>
      </c>
      <c r="C10" s="1">
        <v>67.303899999999999</v>
      </c>
      <c r="D10" s="3">
        <v>64.974000000000004</v>
      </c>
      <c r="E10" s="1">
        <f t="shared" si="1"/>
        <v>-2.329899999999995</v>
      </c>
      <c r="F10" s="5">
        <f t="shared" si="0"/>
        <v>-3.461760759777658E-2</v>
      </c>
    </row>
    <row r="11" spans="1:6" ht="19.5" customHeight="1">
      <c r="A11" s="1" t="s">
        <v>38</v>
      </c>
      <c r="B11" s="1" t="s">
        <v>10</v>
      </c>
      <c r="C11" s="1">
        <v>66.771199999999993</v>
      </c>
      <c r="D11" s="3">
        <v>66.156000000000006</v>
      </c>
      <c r="E11" s="1">
        <f t="shared" si="1"/>
        <v>-0.61519999999998731</v>
      </c>
      <c r="F11" s="5">
        <f t="shared" si="0"/>
        <v>-9.2135531486627082E-3</v>
      </c>
    </row>
    <row r="12" spans="1:6" ht="19.5" customHeight="1">
      <c r="A12" s="1" t="s">
        <v>38</v>
      </c>
      <c r="B12" s="4" t="s">
        <v>41</v>
      </c>
      <c r="C12" s="2">
        <v>30.836099999999998</v>
      </c>
      <c r="D12" s="3">
        <v>32.212200000000003</v>
      </c>
      <c r="E12" s="1">
        <f t="shared" si="1"/>
        <v>1.3761000000000045</v>
      </c>
      <c r="F12" s="8">
        <f t="shared" si="0"/>
        <v>4.4626265967486312E-2</v>
      </c>
    </row>
    <row r="13" spans="1:6" ht="19.5" customHeight="1">
      <c r="A13" s="1" t="s">
        <v>11</v>
      </c>
      <c r="B13" s="1" t="s">
        <v>12</v>
      </c>
      <c r="C13" s="1">
        <v>14.8353</v>
      </c>
      <c r="D13" s="3">
        <v>13.269</v>
      </c>
      <c r="E13" s="1">
        <f t="shared" si="1"/>
        <v>-1.5663</v>
      </c>
      <c r="F13" s="5">
        <f t="shared" si="0"/>
        <v>-0.10557926027785081</v>
      </c>
    </row>
    <row r="14" spans="1:6" ht="19.5" customHeight="1">
      <c r="A14" s="1" t="s">
        <v>11</v>
      </c>
      <c r="B14" s="1" t="s">
        <v>13</v>
      </c>
      <c r="C14" s="1">
        <v>53.8367</v>
      </c>
      <c r="D14" s="3">
        <v>57.154400000000003</v>
      </c>
      <c r="E14" s="1">
        <f t="shared" si="1"/>
        <v>3.3177000000000021</v>
      </c>
      <c r="F14" s="8">
        <f t="shared" si="0"/>
        <v>6.1625248204291903E-2</v>
      </c>
    </row>
    <row r="15" spans="1:6" ht="19.5" customHeight="1">
      <c r="A15" s="1" t="s">
        <v>11</v>
      </c>
      <c r="B15" s="1" t="s">
        <v>14</v>
      </c>
      <c r="C15" s="1">
        <v>9.6548999999999996</v>
      </c>
      <c r="D15" s="3">
        <v>8.7062000000000008</v>
      </c>
      <c r="E15" s="1">
        <f t="shared" si="1"/>
        <v>-0.94869999999999877</v>
      </c>
      <c r="F15" s="5">
        <f t="shared" si="0"/>
        <v>-9.8260986649266052E-2</v>
      </c>
    </row>
    <row r="16" spans="1:6" ht="19.5" customHeight="1">
      <c r="A16" s="1" t="s">
        <v>11</v>
      </c>
      <c r="B16" s="1" t="s">
        <v>15</v>
      </c>
      <c r="C16" s="1">
        <v>34.700800000000001</v>
      </c>
      <c r="D16" s="3">
        <v>32.049799999999998</v>
      </c>
      <c r="E16" s="1">
        <f t="shared" si="1"/>
        <v>-2.6510000000000034</v>
      </c>
      <c r="F16" s="5">
        <f t="shared" si="0"/>
        <v>-7.6395933234968738E-2</v>
      </c>
    </row>
    <row r="17" spans="1:6" ht="19.5" customHeight="1">
      <c r="A17" s="1" t="s">
        <v>11</v>
      </c>
      <c r="B17" s="1" t="s">
        <v>16</v>
      </c>
      <c r="C17" s="1">
        <v>14.4206</v>
      </c>
      <c r="D17" s="3">
        <v>13.0063</v>
      </c>
      <c r="E17" s="1">
        <f t="shared" si="1"/>
        <v>-1.4143000000000008</v>
      </c>
      <c r="F17" s="5">
        <f t="shared" si="0"/>
        <v>-9.8074976075891482E-2</v>
      </c>
    </row>
    <row r="18" spans="1:6" ht="19.5" customHeight="1">
      <c r="A18" s="1" t="s">
        <v>11</v>
      </c>
      <c r="B18" s="1" t="s">
        <v>17</v>
      </c>
      <c r="C18" s="1">
        <v>22.727399999999999</v>
      </c>
      <c r="D18" s="3">
        <v>18.907</v>
      </c>
      <c r="E18" s="1">
        <f t="shared" si="1"/>
        <v>-3.8203999999999994</v>
      </c>
      <c r="F18" s="5">
        <f t="shared" si="0"/>
        <v>-0.16809665865871148</v>
      </c>
    </row>
    <row r="19" spans="1:6" ht="19.5" customHeight="1">
      <c r="A19" s="1" t="s">
        <v>11</v>
      </c>
      <c r="B19" s="1" t="s">
        <v>18</v>
      </c>
      <c r="C19" s="1">
        <v>40.658799999999999</v>
      </c>
      <c r="D19" s="3">
        <v>34.853999999999999</v>
      </c>
      <c r="E19" s="1">
        <f t="shared" si="1"/>
        <v>-5.8048000000000002</v>
      </c>
      <c r="F19" s="5">
        <f t="shared" si="0"/>
        <v>-0.14276860113923678</v>
      </c>
    </row>
    <row r="20" spans="1:6" ht="19.5" customHeight="1">
      <c r="A20" s="1" t="s">
        <v>11</v>
      </c>
      <c r="B20" s="1" t="s">
        <v>19</v>
      </c>
      <c r="C20" s="1">
        <v>34.661200000000001</v>
      </c>
      <c r="D20" s="3">
        <v>31.849</v>
      </c>
      <c r="E20" s="1">
        <f t="shared" si="1"/>
        <v>-2.8122000000000007</v>
      </c>
      <c r="F20" s="5">
        <f t="shared" si="0"/>
        <v>-8.1133948045653367E-2</v>
      </c>
    </row>
    <row r="21" spans="1:6" ht="19.5" customHeight="1">
      <c r="A21" s="1" t="s">
        <v>20</v>
      </c>
      <c r="B21" s="1" t="s">
        <v>21</v>
      </c>
      <c r="C21" s="1">
        <v>66.128100000000003</v>
      </c>
      <c r="D21" s="3">
        <v>63.701500000000003</v>
      </c>
      <c r="E21" s="1">
        <f t="shared" si="1"/>
        <v>-2.4266000000000005</v>
      </c>
      <c r="F21" s="5">
        <f t="shared" si="0"/>
        <v>-3.6695444145529665E-2</v>
      </c>
    </row>
    <row r="22" spans="1:6" ht="19.5" customHeight="1">
      <c r="A22" s="1" t="s">
        <v>20</v>
      </c>
      <c r="B22" s="1" t="s">
        <v>22</v>
      </c>
      <c r="C22" s="1">
        <v>14.2996</v>
      </c>
      <c r="D22" s="3">
        <v>14.4818</v>
      </c>
      <c r="E22" s="1">
        <f t="shared" si="1"/>
        <v>0.18219999999999992</v>
      </c>
      <c r="F22" s="8">
        <f t="shared" si="0"/>
        <v>1.2741615150074123E-2</v>
      </c>
    </row>
    <row r="23" spans="1:6" ht="19.5" customHeight="1">
      <c r="A23" s="1" t="s">
        <v>20</v>
      </c>
      <c r="B23" s="1" t="s">
        <v>23</v>
      </c>
      <c r="C23" s="1">
        <v>38.19</v>
      </c>
      <c r="D23" s="3">
        <v>35.460799999999999</v>
      </c>
      <c r="E23" s="1">
        <f t="shared" si="1"/>
        <v>-2.7291999999999987</v>
      </c>
      <c r="F23" s="5">
        <f t="shared" si="0"/>
        <v>-7.1463733961770068E-2</v>
      </c>
    </row>
    <row r="24" spans="1:6" ht="19.5" customHeight="1">
      <c r="A24" s="1" t="s">
        <v>20</v>
      </c>
      <c r="B24" s="1" t="s">
        <v>24</v>
      </c>
      <c r="C24" s="1">
        <v>44.807299999999998</v>
      </c>
      <c r="D24" s="3">
        <v>41.2545</v>
      </c>
      <c r="E24" s="1">
        <f t="shared" si="1"/>
        <v>-3.5527999999999977</v>
      </c>
      <c r="F24" s="5">
        <f t="shared" si="0"/>
        <v>-7.929065130012293E-2</v>
      </c>
    </row>
    <row r="25" spans="1:6" ht="19.5" customHeight="1">
      <c r="A25" s="1" t="s">
        <v>20</v>
      </c>
      <c r="B25" s="1" t="s">
        <v>25</v>
      </c>
      <c r="C25" s="1">
        <v>64.016599999999997</v>
      </c>
      <c r="D25" s="3">
        <v>61.291499999999999</v>
      </c>
      <c r="E25" s="1">
        <f t="shared" si="1"/>
        <v>-2.7250999999999976</v>
      </c>
      <c r="F25" s="5">
        <f t="shared" si="0"/>
        <v>-4.2568646257376955E-2</v>
      </c>
    </row>
    <row r="26" spans="1:6" ht="19.5" customHeight="1">
      <c r="A26" s="1" t="s">
        <v>20</v>
      </c>
      <c r="B26" s="1" t="s">
        <v>26</v>
      </c>
      <c r="C26" s="1">
        <v>8.8786000000000005</v>
      </c>
      <c r="D26" s="3">
        <v>4.8589000000000002</v>
      </c>
      <c r="E26" s="1">
        <f t="shared" si="1"/>
        <v>-4.0197000000000003</v>
      </c>
      <c r="F26" s="5">
        <f t="shared" si="0"/>
        <v>-0.45274029689365441</v>
      </c>
    </row>
    <row r="27" spans="1:6" ht="19.5" customHeight="1">
      <c r="A27" s="1" t="s">
        <v>20</v>
      </c>
      <c r="B27" s="1" t="s">
        <v>27</v>
      </c>
      <c r="C27" s="1">
        <v>2.5630000000000002</v>
      </c>
      <c r="D27" s="3">
        <v>2.8342999999999998</v>
      </c>
      <c r="E27" s="1">
        <f t="shared" si="1"/>
        <v>0.27129999999999965</v>
      </c>
      <c r="F27" s="8">
        <f t="shared" si="0"/>
        <v>0.10585251658213017</v>
      </c>
    </row>
    <row r="28" spans="1:6" ht="19.5" customHeight="1">
      <c r="A28" s="1" t="s">
        <v>20</v>
      </c>
      <c r="B28" s="1" t="s">
        <v>28</v>
      </c>
      <c r="C28" s="1">
        <v>9.6815999999999995</v>
      </c>
      <c r="D28" s="3">
        <v>4.7065999999999999</v>
      </c>
      <c r="E28" s="1">
        <f t="shared" si="1"/>
        <v>-4.9749999999999996</v>
      </c>
      <c r="F28" s="5">
        <f t="shared" si="0"/>
        <v>-0.51386134523219307</v>
      </c>
    </row>
    <row r="29" spans="1:6" ht="19.5" customHeight="1">
      <c r="A29" s="1" t="s">
        <v>20</v>
      </c>
      <c r="B29" s="1" t="s">
        <v>29</v>
      </c>
      <c r="C29" s="1">
        <v>0.1855</v>
      </c>
      <c r="D29" s="3">
        <v>5.9900000000000002E-2</v>
      </c>
      <c r="E29" s="1">
        <f t="shared" si="1"/>
        <v>-0.12559999999999999</v>
      </c>
      <c r="F29" s="5">
        <f t="shared" si="0"/>
        <v>-0.67708894878706194</v>
      </c>
    </row>
    <row r="30" spans="1:6" ht="19.5" customHeight="1">
      <c r="A30" s="1" t="s">
        <v>43</v>
      </c>
      <c r="B30" s="1" t="s">
        <v>30</v>
      </c>
      <c r="C30" s="1">
        <v>38.316699999999997</v>
      </c>
      <c r="D30" s="3">
        <v>32.435000000000002</v>
      </c>
      <c r="E30" s="1">
        <f t="shared" si="1"/>
        <v>-5.881699999999995</v>
      </c>
      <c r="F30" s="5">
        <f t="shared" si="0"/>
        <v>-0.15350225880621232</v>
      </c>
    </row>
    <row r="31" spans="1:6" ht="19.5" customHeight="1">
      <c r="A31" s="1" t="s">
        <v>42</v>
      </c>
      <c r="B31" s="1" t="s">
        <v>31</v>
      </c>
      <c r="C31" s="1">
        <v>80.817999999999998</v>
      </c>
      <c r="D31" s="3">
        <v>75.422499999999999</v>
      </c>
      <c r="E31" s="1">
        <f t="shared" si="1"/>
        <v>-5.3954999999999984</v>
      </c>
      <c r="F31" s="5">
        <f t="shared" si="0"/>
        <v>-6.6761117572817913E-2</v>
      </c>
    </row>
    <row r="32" spans="1:6" ht="19.5" customHeight="1">
      <c r="A32" s="1" t="s">
        <v>42</v>
      </c>
      <c r="B32" s="1" t="s">
        <v>32</v>
      </c>
      <c r="C32" s="1">
        <v>58.5274</v>
      </c>
      <c r="D32" s="3">
        <v>56.466999999999999</v>
      </c>
      <c r="E32" s="1">
        <f t="shared" si="1"/>
        <v>-2.0604000000000013</v>
      </c>
      <c r="F32" s="5">
        <f t="shared" si="0"/>
        <v>-3.5204024098114753E-2</v>
      </c>
    </row>
    <row r="33" spans="1:6" ht="19.5" customHeight="1">
      <c r="A33" s="1" t="s">
        <v>42</v>
      </c>
      <c r="B33" s="1" t="s">
        <v>33</v>
      </c>
      <c r="C33" s="1">
        <v>88.255200000000002</v>
      </c>
      <c r="D33" s="3">
        <v>85.161199999999994</v>
      </c>
      <c r="E33" s="1">
        <f t="shared" si="1"/>
        <v>-3.0940000000000083</v>
      </c>
      <c r="F33" s="5">
        <f t="shared" si="0"/>
        <v>-3.505742437839366E-2</v>
      </c>
    </row>
    <row r="34" spans="1:6" ht="19.5" customHeight="1">
      <c r="A34" s="1" t="s">
        <v>34</v>
      </c>
      <c r="B34" s="1" t="s">
        <v>35</v>
      </c>
      <c r="C34" s="1">
        <v>46.216900000000003</v>
      </c>
      <c r="D34" s="3">
        <v>35.492400000000004</v>
      </c>
      <c r="E34" s="1">
        <f t="shared" si="1"/>
        <v>-10.724499999999999</v>
      </c>
      <c r="F34" s="5">
        <f t="shared" si="0"/>
        <v>-0.23204715158307887</v>
      </c>
    </row>
    <row r="35" spans="1:6" ht="19.5" customHeight="1">
      <c r="A35" s="1" t="s">
        <v>34</v>
      </c>
      <c r="B35" s="1" t="s">
        <v>36</v>
      </c>
      <c r="C35" s="1">
        <v>7.6276000000000002</v>
      </c>
      <c r="D35" s="3">
        <v>18.581900000000001</v>
      </c>
      <c r="E35" s="1">
        <f t="shared" si="1"/>
        <v>10.9543</v>
      </c>
      <c r="F35" s="8">
        <f t="shared" si="0"/>
        <v>1.4361398080654464</v>
      </c>
    </row>
    <row r="36" spans="1:6" ht="19.5" customHeight="1">
      <c r="A36" s="1" t="s">
        <v>34</v>
      </c>
      <c r="B36" s="1" t="s">
        <v>37</v>
      </c>
      <c r="C36" s="1">
        <v>28.2851</v>
      </c>
      <c r="D36" s="3">
        <v>24.611499999999999</v>
      </c>
      <c r="E36" s="1">
        <f t="shared" si="1"/>
        <v>-3.6736000000000004</v>
      </c>
      <c r="F36" s="5">
        <f t="shared" si="0"/>
        <v>-0.129877568048195</v>
      </c>
    </row>
  </sheetData>
  <mergeCells count="1">
    <mergeCell ref="A2:B2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姝月 王</cp:lastModifiedBy>
  <dcterms:created xsi:type="dcterms:W3CDTF">2026-04-02T06:49:48Z</dcterms:created>
  <dcterms:modified xsi:type="dcterms:W3CDTF">2026-04-02T07:25:07Z</dcterms:modified>
</cp:coreProperties>
</file>